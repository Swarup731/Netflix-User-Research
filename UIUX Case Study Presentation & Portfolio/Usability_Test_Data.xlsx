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Results" sheetId="1" state="visible" r:id="rId3"/>
    <sheet name="Tas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<sst xmlns="http://schemas.openxmlformats.org/spreadsheetml/2006/main" count="156" uniqueCount="46">
  <si>
    <t xml:space="preserve">Participant</t>
  </si>
  <si>
    <t xml:space="preserve">Prior Wireframe Exposure</t>
  </si>
  <si>
    <t xml:space="preserve">Task</t>
  </si>
  <si>
    <t xml:space="preserve">Completion Time (s)</t>
  </si>
  <si>
    <t xml:space="preserve">Result</t>
  </si>
  <si>
    <t xml:space="preserve">Nav Errors</t>
  </si>
  <si>
    <t xml:space="preserve">Note</t>
  </si>
  <si>
    <t xml:space="preserve">P1</t>
  </si>
  <si>
    <t xml:space="preserve">No</t>
  </si>
  <si>
    <t xml:space="preserve">1. Browse &amp; Watch</t>
  </si>
  <si>
    <t xml:space="preserve">Success</t>
  </si>
  <si>
    <t xml:space="preserve">Went straight to Continue Watching row</t>
  </si>
  <si>
    <t xml:space="preserve">2. Targeted Search</t>
  </si>
  <si>
    <t xml:space="preserve">Tried typing before noticing chips</t>
  </si>
  <si>
    <t xml:space="preserve">3. Account Navigation</t>
  </si>
  <si>
    <t xml:space="preserve">Checked bottom nav first, then found profile icon</t>
  </si>
  <si>
    <t xml:space="preserve">4. Guided Discovery (SmartPick)</t>
  </si>
  <si>
    <t xml:space="preserve">Partial</t>
  </si>
  <si>
    <t xml:space="preserve">Did not notice FAB unprompted; found it after hint</t>
  </si>
  <si>
    <t xml:space="preserve">5. Recovery</t>
  </si>
  <si>
    <t xml:space="preserve">Tapped scrim immediately</t>
  </si>
  <si>
    <t xml:space="preserve">P2</t>
  </si>
  <si>
    <t xml:space="preserve">Yes</t>
  </si>
  <si>
    <t xml:space="preserve">Fast — recognized layout from earlier wireframe review</t>
  </si>
  <si>
    <t xml:space="preserve">Used both chips correctly on first try</t>
  </si>
  <si>
    <t xml:space="preserve">Noticed FAB immediately, called it ‘the sparkle button’</t>
  </si>
  <si>
    <t xml:space="preserve">P3</t>
  </si>
  <si>
    <t xml:space="preserve">Briefly tried tapping the hero image itself</t>
  </si>
  <si>
    <t xml:space="preserve">Set genre chip, missed language chip until reminded</t>
  </si>
  <si>
    <t xml:space="preserve">Fail</t>
  </si>
  <si>
    <t xml:space="preserve">Tried bottom nav twice, gave up, needed a hint</t>
  </si>
  <si>
    <t xml:space="preserve">Did not find FAB within 2-minute cap</t>
  </si>
  <si>
    <t xml:space="preserve">Looked for an X button before trying the scrim</t>
  </si>
  <si>
    <t xml:space="preserve">P4</t>
  </si>
  <si>
    <t xml:space="preserve">Slight pause finding the Hindi chip (scrolled chip row)</t>
  </si>
  <si>
    <t xml:space="preserve">Found FAB but hesitated — unsure what icon meant</t>
  </si>
  <si>
    <t xml:space="preserve">P5</t>
  </si>
  <si>
    <t xml:space="preserve">P6</t>
  </si>
  <si>
    <t xml:space="preserve">Assumed chips were single-select, tapped Comedy then Action</t>
  </si>
  <si>
    <t xml:space="preserve">Opened drawer but couldn't find explicit close; tapped around edges</t>
  </si>
  <si>
    <t xml:space="preserve">Found FAB late, near 2-minute cap</t>
  </si>
  <si>
    <t xml:space="preserve">Same close-button confusion as Task 3</t>
  </si>
  <si>
    <t xml:space="preserve">Avg Time (s)</t>
  </si>
  <si>
    <t xml:space="preserve">Success Rate</t>
  </si>
  <si>
    <t xml:space="preserve">Avg Nav Errors</t>
  </si>
  <si>
    <t xml:space="preserve">Ease Score (1-5, post-test avg)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</si>
</sst>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0914"/>
        <bgColor rgb="FF993300"/>
      </patternFill>
    </fill>
    <fill>
      <patternFill patternType="solid">
        <fgColor rgb="FFD9F2E0"/>
        <bgColor rgb="FFCCFFFF"/>
      </patternFill>
    </fill>
    <fill>
      <patternFill patternType="solid">
        <fgColor rgb="FFFDF0D5"/>
        <bgColor rgb="FFFADBD8"/>
      </patternFill>
    </fill>
    <fill>
      <patternFill patternType="solid">
        <fgColor rgb="FFFADBD8"/>
        <bgColor rgb="FFFDF0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D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0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4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14</v>
      </c>
      <c r="E2" s="3" t="s">
        <v>10</v>
      </c>
      <c r="F2" s="2" t="n">
        <v>0</v>
      </c>
      <c r="G2" s="2" t="s">
        <v>11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12</v>
      </c>
      <c r="D3" s="2" t="n">
        <v>38</v>
      </c>
      <c r="E3" s="3" t="s">
        <v>10</v>
      </c>
      <c r="F3" s="2" t="n">
        <v>1</v>
      </c>
      <c r="G3" s="2" t="s">
        <v>13</v>
      </c>
    </row>
    <row r="4" customFormat="false" ht="25.35" hidden="false" customHeight="false" outlineLevel="0" collapsed="false">
      <c r="A4" s="2" t="s">
        <v>7</v>
      </c>
      <c r="B4" s="2" t="s">
        <v>8</v>
      </c>
      <c r="C4" s="2" t="s">
        <v>14</v>
      </c>
      <c r="D4" s="2" t="n">
        <v>22</v>
      </c>
      <c r="E4" s="3" t="s">
        <v>10</v>
      </c>
      <c r="F4" s="2" t="n">
        <v>1</v>
      </c>
      <c r="G4" s="2" t="s">
        <v>15</v>
      </c>
    </row>
    <row r="5" customFormat="false" ht="25.35" hidden="false" customHeight="false" outlineLevel="0" collapsed="false">
      <c r="A5" s="2" t="s">
        <v>7</v>
      </c>
      <c r="B5" s="2" t="s">
        <v>8</v>
      </c>
      <c r="C5" s="2" t="s">
        <v>16</v>
      </c>
      <c r="D5" s="2" t="n">
        <v>46</v>
      </c>
      <c r="E5" s="4" t="s">
        <v>17</v>
      </c>
      <c r="F5" s="2" t="n">
        <v>2</v>
      </c>
      <c r="G5" s="2" t="s">
        <v>18</v>
      </c>
    </row>
    <row r="6" customFormat="false" ht="15" hidden="false" customHeight="false" outlineLevel="0" collapsed="false">
      <c r="A6" s="2" t="s">
        <v>7</v>
      </c>
      <c r="B6" s="2" t="s">
        <v>8</v>
      </c>
      <c r="C6" s="2" t="s">
        <v>19</v>
      </c>
      <c r="D6" s="2" t="n">
        <v>6</v>
      </c>
      <c r="E6" s="3" t="s">
        <v>10</v>
      </c>
      <c r="F6" s="2" t="n">
        <v>0</v>
      </c>
      <c r="G6" s="2" t="s">
        <v>20</v>
      </c>
    </row>
    <row r="7" customFormat="false" ht="25.35" hidden="false" customHeight="false" outlineLevel="0" collapsed="false">
      <c r="A7" s="2" t="s">
        <v>21</v>
      </c>
      <c r="B7" s="2" t="s">
        <v>22</v>
      </c>
      <c r="C7" s="2" t="s">
        <v>9</v>
      </c>
      <c r="D7" s="2" t="n">
        <v>9</v>
      </c>
      <c r="E7" s="3" t="s">
        <v>10</v>
      </c>
      <c r="F7" s="2" t="n">
        <v>0</v>
      </c>
      <c r="G7" s="2" t="s">
        <v>23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s">
        <v>12</v>
      </c>
      <c r="D8" s="2" t="n">
        <v>25</v>
      </c>
      <c r="E8" s="3" t="s">
        <v>10</v>
      </c>
      <c r="F8" s="2" t="n">
        <v>0</v>
      </c>
      <c r="G8" s="2" t="s">
        <v>24</v>
      </c>
    </row>
    <row r="9" customFormat="false" ht="15" hidden="false" customHeight="false" outlineLevel="0" collapsed="false">
      <c r="A9" s="2" t="s">
        <v>21</v>
      </c>
      <c r="B9" s="2" t="s">
        <v>22</v>
      </c>
      <c r="C9" s="2" t="s">
        <v>14</v>
      </c>
      <c r="D9" s="2" t="n">
        <v>11</v>
      </c>
      <c r="E9" s="3" t="s">
        <v>10</v>
      </c>
      <c r="F9" s="2" t="n">
        <v>0</v>
      </c>
      <c r="G9" s="2"/>
    </row>
    <row r="10" customFormat="false" ht="25.35" hidden="false" customHeight="false" outlineLevel="0" collapsed="false">
      <c r="A10" s="2" t="s">
        <v>21</v>
      </c>
      <c r="B10" s="2" t="s">
        <v>22</v>
      </c>
      <c r="C10" s="2" t="s">
        <v>16</v>
      </c>
      <c r="D10" s="2" t="n">
        <v>19</v>
      </c>
      <c r="E10" s="3" t="s">
        <v>10</v>
      </c>
      <c r="F10" s="2" t="n">
        <v>0</v>
      </c>
      <c r="G10" s="2" t="s">
        <v>25</v>
      </c>
    </row>
    <row r="11" customFormat="false" ht="15" hidden="false" customHeight="false" outlineLevel="0" collapsed="false">
      <c r="A11" s="2" t="s">
        <v>21</v>
      </c>
      <c r="B11" s="2" t="s">
        <v>22</v>
      </c>
      <c r="C11" s="2" t="s">
        <v>19</v>
      </c>
      <c r="D11" s="2" t="n">
        <v>4</v>
      </c>
      <c r="E11" s="3" t="s">
        <v>10</v>
      </c>
      <c r="F11" s="2" t="n">
        <v>0</v>
      </c>
      <c r="G11" s="2"/>
    </row>
    <row r="12" customFormat="false" ht="15" hidden="false" customHeight="false" outlineLevel="0" collapsed="false">
      <c r="A12" s="2" t="s">
        <v>26</v>
      </c>
      <c r="B12" s="2" t="s">
        <v>8</v>
      </c>
      <c r="C12" s="2" t="s">
        <v>9</v>
      </c>
      <c r="D12" s="2" t="n">
        <v>21</v>
      </c>
      <c r="E12" s="3" t="s">
        <v>10</v>
      </c>
      <c r="F12" s="2" t="n">
        <v>1</v>
      </c>
      <c r="G12" s="2" t="s">
        <v>27</v>
      </c>
    </row>
    <row r="13" customFormat="false" ht="25.35" hidden="false" customHeight="false" outlineLevel="0" collapsed="false">
      <c r="A13" s="2" t="s">
        <v>26</v>
      </c>
      <c r="B13" s="2" t="s">
        <v>8</v>
      </c>
      <c r="C13" s="2" t="s">
        <v>12</v>
      </c>
      <c r="D13" s="2" t="n">
        <v>52</v>
      </c>
      <c r="E13" s="4" t="s">
        <v>17</v>
      </c>
      <c r="F13" s="2" t="n">
        <v>3</v>
      </c>
      <c r="G13" s="2" t="s">
        <v>28</v>
      </c>
    </row>
    <row r="14" customFormat="false" ht="15" hidden="false" customHeight="false" outlineLevel="0" collapsed="false">
      <c r="A14" s="2" t="s">
        <v>26</v>
      </c>
      <c r="B14" s="2" t="s">
        <v>8</v>
      </c>
      <c r="C14" s="2" t="s">
        <v>14</v>
      </c>
      <c r="D14" s="2" t="n">
        <v>41</v>
      </c>
      <c r="E14" s="5" t="s">
        <v>29</v>
      </c>
      <c r="F14" s="2" t="n">
        <v>3</v>
      </c>
      <c r="G14" s="2" t="s">
        <v>30</v>
      </c>
    </row>
    <row r="15" customFormat="false" ht="25.35" hidden="false" customHeight="false" outlineLevel="0" collapsed="false">
      <c r="A15" s="2" t="s">
        <v>26</v>
      </c>
      <c r="B15" s="2" t="s">
        <v>8</v>
      </c>
      <c r="C15" s="2" t="s">
        <v>16</v>
      </c>
      <c r="D15" s="2" t="n">
        <v>58</v>
      </c>
      <c r="E15" s="5" t="s">
        <v>29</v>
      </c>
      <c r="F15" s="2" t="n">
        <v>2</v>
      </c>
      <c r="G15" s="2" t="s">
        <v>31</v>
      </c>
    </row>
    <row r="16" customFormat="false" ht="15" hidden="false" customHeight="false" outlineLevel="0" collapsed="false">
      <c r="A16" s="2" t="s">
        <v>26</v>
      </c>
      <c r="B16" s="2" t="s">
        <v>8</v>
      </c>
      <c r="C16" s="2" t="s">
        <v>19</v>
      </c>
      <c r="D16" s="2" t="n">
        <v>15</v>
      </c>
      <c r="E16" s="3" t="s">
        <v>10</v>
      </c>
      <c r="F16" s="2" t="n">
        <v>1</v>
      </c>
      <c r="G16" s="2" t="s">
        <v>32</v>
      </c>
    </row>
    <row r="17" customFormat="false" ht="15" hidden="false" customHeight="false" outlineLevel="0" collapsed="false">
      <c r="A17" s="2" t="s">
        <v>33</v>
      </c>
      <c r="B17" s="2" t="s">
        <v>8</v>
      </c>
      <c r="C17" s="2" t="s">
        <v>9</v>
      </c>
      <c r="D17" s="2" t="n">
        <v>12</v>
      </c>
      <c r="E17" s="3" t="s">
        <v>10</v>
      </c>
      <c r="F17" s="2" t="n">
        <v>0</v>
      </c>
      <c r="G17" s="2"/>
    </row>
    <row r="18" customFormat="false" ht="25.35" hidden="false" customHeight="false" outlineLevel="0" collapsed="false">
      <c r="A18" s="2" t="s">
        <v>33</v>
      </c>
      <c r="B18" s="2" t="s">
        <v>8</v>
      </c>
      <c r="C18" s="2" t="s">
        <v>12</v>
      </c>
      <c r="D18" s="2" t="n">
        <v>33</v>
      </c>
      <c r="E18" s="3" t="s">
        <v>10</v>
      </c>
      <c r="F18" s="2" t="n">
        <v>1</v>
      </c>
      <c r="G18" s="2" t="s">
        <v>34</v>
      </c>
    </row>
    <row r="19" customFormat="false" ht="15" hidden="false" customHeight="false" outlineLevel="0" collapsed="false">
      <c r="A19" s="2" t="s">
        <v>33</v>
      </c>
      <c r="B19" s="2" t="s">
        <v>8</v>
      </c>
      <c r="C19" s="2" t="s">
        <v>14</v>
      </c>
      <c r="D19" s="2" t="n">
        <v>19</v>
      </c>
      <c r="E19" s="3" t="s">
        <v>10</v>
      </c>
      <c r="F19" s="2" t="n">
        <v>0</v>
      </c>
      <c r="G19" s="2"/>
    </row>
    <row r="20" customFormat="false" ht="25.35" hidden="false" customHeight="false" outlineLevel="0" collapsed="false">
      <c r="A20" s="2" t="s">
        <v>33</v>
      </c>
      <c r="B20" s="2" t="s">
        <v>8</v>
      </c>
      <c r="C20" s="2" t="s">
        <v>16</v>
      </c>
      <c r="D20" s="2" t="n">
        <v>35</v>
      </c>
      <c r="E20" s="3" t="s">
        <v>10</v>
      </c>
      <c r="F20" s="2" t="n">
        <v>1</v>
      </c>
      <c r="G20" s="2" t="s">
        <v>35</v>
      </c>
    </row>
    <row r="21" customFormat="false" ht="15" hidden="false" customHeight="false" outlineLevel="0" collapsed="false">
      <c r="A21" s="2" t="s">
        <v>33</v>
      </c>
      <c r="B21" s="2" t="s">
        <v>8</v>
      </c>
      <c r="C21" s="2" t="s">
        <v>19</v>
      </c>
      <c r="D21" s="2" t="n">
        <v>8</v>
      </c>
      <c r="E21" s="3" t="s">
        <v>10</v>
      </c>
      <c r="F21" s="2" t="n">
        <v>0</v>
      </c>
      <c r="G21" s="2"/>
    </row>
    <row r="22" customFormat="false" ht="15" hidden="false" customHeight="false" outlineLevel="0" collapsed="false">
      <c r="A22" s="2" t="s">
        <v>36</v>
      </c>
      <c r="B22" s="2" t="s">
        <v>22</v>
      </c>
      <c r="C22" s="2" t="s">
        <v>9</v>
      </c>
      <c r="D22" s="2" t="n">
        <v>10</v>
      </c>
      <c r="E22" s="3" t="s">
        <v>10</v>
      </c>
      <c r="F22" s="2" t="n">
        <v>0</v>
      </c>
      <c r="G22" s="2"/>
    </row>
    <row r="23" customFormat="false" ht="15" hidden="false" customHeight="false" outlineLevel="0" collapsed="false">
      <c r="A23" s="2" t="s">
        <v>36</v>
      </c>
      <c r="B23" s="2" t="s">
        <v>22</v>
      </c>
      <c r="C23" s="2" t="s">
        <v>12</v>
      </c>
      <c r="D23" s="2" t="n">
        <v>28</v>
      </c>
      <c r="E23" s="3" t="s">
        <v>10</v>
      </c>
      <c r="F23" s="2" t="n">
        <v>0</v>
      </c>
      <c r="G23" s="2"/>
    </row>
    <row r="24" customFormat="false" ht="15" hidden="false" customHeight="false" outlineLevel="0" collapsed="false">
      <c r="A24" s="2" t="s">
        <v>36</v>
      </c>
      <c r="B24" s="2" t="s">
        <v>22</v>
      </c>
      <c r="C24" s="2" t="s">
        <v>14</v>
      </c>
      <c r="D24" s="2" t="n">
        <v>13</v>
      </c>
      <c r="E24" s="3" t="s">
        <v>10</v>
      </c>
      <c r="F24" s="2" t="n">
        <v>0</v>
      </c>
      <c r="G24" s="2"/>
    </row>
    <row r="25" customFormat="false" ht="25.35" hidden="false" customHeight="false" outlineLevel="0" collapsed="false">
      <c r="A25" s="2" t="s">
        <v>36</v>
      </c>
      <c r="B25" s="2" t="s">
        <v>22</v>
      </c>
      <c r="C25" s="2" t="s">
        <v>16</v>
      </c>
      <c r="D25" s="2" t="n">
        <v>21</v>
      </c>
      <c r="E25" s="3" t="s">
        <v>10</v>
      </c>
      <c r="F25" s="2" t="n">
        <v>0</v>
      </c>
      <c r="G25" s="2"/>
    </row>
    <row r="26" customFormat="false" ht="15" hidden="false" customHeight="false" outlineLevel="0" collapsed="false">
      <c r="A26" s="2" t="s">
        <v>36</v>
      </c>
      <c r="B26" s="2" t="s">
        <v>22</v>
      </c>
      <c r="C26" s="2" t="s">
        <v>19</v>
      </c>
      <c r="D26" s="2" t="n">
        <v>5</v>
      </c>
      <c r="E26" s="3" t="s">
        <v>10</v>
      </c>
      <c r="F26" s="2" t="n">
        <v>0</v>
      </c>
      <c r="G26" s="2"/>
    </row>
    <row r="27" customFormat="false" ht="15" hidden="false" customHeight="false" outlineLevel="0" collapsed="false">
      <c r="A27" s="2" t="s">
        <v>37</v>
      </c>
      <c r="B27" s="2" t="s">
        <v>8</v>
      </c>
      <c r="C27" s="2" t="s">
        <v>9</v>
      </c>
      <c r="D27" s="2" t="n">
        <v>17</v>
      </c>
      <c r="E27" s="3" t="s">
        <v>10</v>
      </c>
      <c r="F27" s="2" t="n">
        <v>0</v>
      </c>
      <c r="G27" s="2"/>
    </row>
    <row r="28" customFormat="false" ht="25.35" hidden="false" customHeight="false" outlineLevel="0" collapsed="false">
      <c r="A28" s="2" t="s">
        <v>37</v>
      </c>
      <c r="B28" s="2" t="s">
        <v>8</v>
      </c>
      <c r="C28" s="2" t="s">
        <v>12</v>
      </c>
      <c r="D28" s="2" t="n">
        <v>44</v>
      </c>
      <c r="E28" s="4" t="s">
        <v>17</v>
      </c>
      <c r="F28" s="2" t="n">
        <v>2</v>
      </c>
      <c r="G28" s="2" t="s">
        <v>38</v>
      </c>
    </row>
    <row r="29" customFormat="false" ht="25.35" hidden="false" customHeight="false" outlineLevel="0" collapsed="false">
      <c r="A29" s="2" t="s">
        <v>37</v>
      </c>
      <c r="B29" s="2" t="s">
        <v>8</v>
      </c>
      <c r="C29" s="2" t="s">
        <v>14</v>
      </c>
      <c r="D29" s="2" t="n">
        <v>36</v>
      </c>
      <c r="E29" s="5" t="s">
        <v>29</v>
      </c>
      <c r="F29" s="2" t="n">
        <v>2</v>
      </c>
      <c r="G29" s="2" t="s">
        <v>39</v>
      </c>
    </row>
    <row r="30" customFormat="false" ht="25.35" hidden="false" customHeight="false" outlineLevel="0" collapsed="false">
      <c r="A30" s="2" t="s">
        <v>37</v>
      </c>
      <c r="B30" s="2" t="s">
        <v>8</v>
      </c>
      <c r="C30" s="2" t="s">
        <v>16</v>
      </c>
      <c r="D30" s="2" t="n">
        <v>51</v>
      </c>
      <c r="E30" s="4" t="s">
        <v>17</v>
      </c>
      <c r="F30" s="2" t="n">
        <v>2</v>
      </c>
      <c r="G30" s="2" t="s">
        <v>40</v>
      </c>
    </row>
    <row r="31" customFormat="false" ht="15" hidden="false" customHeight="false" outlineLevel="0" collapsed="false">
      <c r="A31" s="2" t="s">
        <v>37</v>
      </c>
      <c r="B31" s="2" t="s">
        <v>8</v>
      </c>
      <c r="C31" s="2" t="s">
        <v>19</v>
      </c>
      <c r="D31" s="2" t="n">
        <v>19</v>
      </c>
      <c r="E31" s="4" t="s">
        <v>17</v>
      </c>
      <c r="F31" s="2" t="n">
        <v>2</v>
      </c>
      <c r="G31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20"/>
  </cols>
  <sheetData>
    <row r="1" customFormat="false" ht="30" hidden="false" customHeight="true" outlineLevel="0" collapsed="false">
      <c r="A1" s="6" t="s">
        <v>2</v>
      </c>
      <c r="B1" s="6" t="s">
        <v>42</v>
      </c>
      <c r="C1" s="6" t="s">
        <v>43</v>
      </c>
      <c r="D1" s="6" t="s">
        <v>44</v>
      </c>
      <c r="E1" s="6" t="s">
        <v>45</v>
      </c>
    </row>
    <row r="2" customFormat="false" ht="15" hidden="false" customHeight="false" outlineLevel="0" collapsed="false">
      <c r="A2" s="7" t="s">
        <v>9</v>
      </c>
      <c r="B2" s="7" t="n">
        <f aca="false">AVERAGEIF('Raw Results'!C2:C31,A2,'Raw Results'!D2:D31)</f>
        <v>13.8333333333333</v>
      </c>
      <c r="C2" s="8" t="n">
        <f aca="false">COUNTIFS('Raw Results'!C2:C31,A2,'Raw Results'!E2:E31,"Success")/COUNTIF('Raw Results'!C2:C31,A2)</f>
        <v>1</v>
      </c>
      <c r="D2" s="7" t="n">
        <f aca="false">AVERAGEIF('Raw Results'!C2:C31,A2,'Raw Results'!F2:F31)</f>
        <v>0.166666666666667</v>
      </c>
      <c r="E2" s="7" t="n">
        <v>4.5</v>
      </c>
    </row>
    <row r="3" customFormat="false" ht="15" hidden="false" customHeight="false" outlineLevel="0" collapsed="false">
      <c r="A3" s="7" t="s">
        <v>12</v>
      </c>
      <c r="B3" s="7" t="n">
        <f aca="false">AVERAGEIF('Raw Results'!C2:C31,A3,'Raw Results'!D2:D31)</f>
        <v>36.6666666666667</v>
      </c>
      <c r="C3" s="8" t="n">
        <f aca="false">COUNTIFS('Raw Results'!C2:C31,A3,'Raw Results'!E2:E31,"Success")/COUNTIF('Raw Results'!C2:C31,A3)</f>
        <v>0.666666666666667</v>
      </c>
      <c r="D3" s="7" t="n">
        <f aca="false">AVERAGEIF('Raw Results'!C2:C31,A3,'Raw Results'!F2:F31)</f>
        <v>1.16666666666667</v>
      </c>
      <c r="E3" s="7" t="n">
        <v>3.2</v>
      </c>
    </row>
    <row r="4" customFormat="false" ht="15" hidden="false" customHeight="false" outlineLevel="0" collapsed="false">
      <c r="A4" s="7" t="s">
        <v>14</v>
      </c>
      <c r="B4" s="7" t="n">
        <f aca="false">AVERAGEIF('Raw Results'!C2:C31,A4,'Raw Results'!D2:D31)</f>
        <v>23.6666666666667</v>
      </c>
      <c r="C4" s="8" t="n">
        <f aca="false">COUNTIFS('Raw Results'!C2:C31,A4,'Raw Results'!E2:E31,"Success")/COUNTIF('Raw Results'!C2:C31,A4)</f>
        <v>0.666666666666667</v>
      </c>
      <c r="D4" s="7" t="n">
        <f aca="false">AVERAGEIF('Raw Results'!C2:C31,A4,'Raw Results'!F2:F31)</f>
        <v>1</v>
      </c>
      <c r="E4" s="7" t="n">
        <v>3</v>
      </c>
    </row>
    <row r="5" customFormat="false" ht="15" hidden="false" customHeight="false" outlineLevel="0" collapsed="false">
      <c r="A5" s="7" t="s">
        <v>16</v>
      </c>
      <c r="B5" s="7" t="n">
        <f aca="false">AVERAGEIF('Raw Results'!C2:C31,A5,'Raw Results'!D2:D31)</f>
        <v>38.3333333333333</v>
      </c>
      <c r="C5" s="8" t="n">
        <f aca="false">COUNTIFS('Raw Results'!C2:C31,A5,'Raw Results'!E2:E31,"Success")/COUNTIF('Raw Results'!C2:C31,A5)</f>
        <v>0.5</v>
      </c>
      <c r="D5" s="7" t="n">
        <f aca="false">AVERAGEIF('Raw Results'!C2:C31,A5,'Raw Results'!F2:F31)</f>
        <v>1.16666666666667</v>
      </c>
      <c r="E5" s="7" t="n">
        <v>3.3</v>
      </c>
    </row>
    <row r="6" customFormat="false" ht="15" hidden="false" customHeight="false" outlineLevel="0" collapsed="false">
      <c r="A6" s="7" t="s">
        <v>19</v>
      </c>
      <c r="B6" s="7" t="n">
        <f aca="false">AVERAGEIF('Raw Results'!C2:C31,A6,'Raw Results'!D2:D31)</f>
        <v>9.5</v>
      </c>
      <c r="C6" s="8" t="n">
        <f aca="false">COUNTIFS('Raw Results'!C2:C31,A6,'Raw Results'!E2:E31,"Success")/COUNTIF('Raw Results'!C2:C31,A6)</f>
        <v>0.833333333333333</v>
      </c>
      <c r="D6" s="7" t="n">
        <f aca="false">AVERAGEIF('Raw Results'!C2:C31,A6,'Raw Results'!F2:F31)</f>
        <v>0.5</v>
      </c>
      <c r="E6" s="7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2026-09-19T04:11:09Z</dcterms:created>
  <dc:creator>openpyxl</dc:creator>
  <dc:description/>
  <dc:language>en-US</dc:language>
  <cp:lastModifiedBy/>
  <dcterms:modified xsi:type="dcterms:W3CDTF">2026-09-19T04:11:09Z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