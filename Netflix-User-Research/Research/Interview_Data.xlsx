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view 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<sst xmlns="http://schemas.openxmlformats.org/spreadsheetml/2006/main" count="75" uniqueCount="56">
  <si>
    <t xml:space="preserve">User ID</t>
  </si>
  <si>
    <t xml:space="preserve">Age</t>
  </si>
  <si>
    <t xml:space="preserve">Occupation</t>
  </si>
  <si>
    <t xml:space="preserve">Usage Frequency</t>
  </si>
  <si>
    <t xml:space="preserve">Primary Device</t>
  </si>
  <si>
    <t xml:space="preserve">Main Problem</t>
  </si>
  <si>
    <t xml:space="preserve">Desired Feature</t>
  </si>
  <si>
    <t xml:space="preserve">Recommendation Satisfaction (1-5)</t>
  </si>
  <si>
    <t xml:space="preserve">Notes</t>
  </si>
  <si>
    <t xml:space="preserve">U01</t>
  </si>
  <si>
    <t xml:space="preserve">Student</t>
  </si>
  <si>
    <t xml:space="preserve">Daily</t>
  </si>
  <si>
    <t xml:space="preserve">Mobile</t>
  </si>
  <si>
    <t xml:space="preserve">Too many choices</t>
  </si>
  <si>
    <t xml:space="preserve">Better recommendations</t>
  </si>
  <si>
    <t xml:space="preserve">Example entry — replace with real interview data</t>
  </si>
  <si>
    <t xml:space="preserve">U02</t>
  </si>
  <si>
    <t xml:space="preserve">Marketing Executive</t>
  </si>
  <si>
    <t xml:space="preserve">Weekly</t>
  </si>
  <si>
    <t xml:space="preserve">Smart TV</t>
  </si>
  <si>
    <t xml:space="preserve">Finding content takes time</t>
  </si>
  <si>
    <t xml:space="preserve">Mood-based search</t>
  </si>
  <si>
    <t xml:space="preserve">U03</t>
  </si>
  <si>
    <t xml:space="preserve">Software Engineer</t>
  </si>
  <si>
    <t xml:space="preserve">Laptop</t>
  </si>
  <si>
    <t xml:space="preserve">Recommendations repetitive</t>
  </si>
  <si>
    <t xml:space="preserve">More diverse recommendations</t>
  </si>
  <si>
    <t xml:space="preserve">U04</t>
  </si>
  <si>
    <t xml:space="preserve">Teacher</t>
  </si>
  <si>
    <t xml:space="preserve">Price</t>
  </si>
  <si>
    <t xml:space="preserve">Flexible plans</t>
  </si>
  <si>
    <t xml:space="preserve">U05</t>
  </si>
  <si>
    <t xml:space="preserve">Graphic Designer</t>
  </si>
  <si>
    <t xml:space="preserve">Search difficulty</t>
  </si>
  <si>
    <t xml:space="preserve">Better filters</t>
  </si>
  <si>
    <t xml:space="preserve">U06</t>
  </si>
  <si>
    <t xml:space="preserve">Occasional</t>
  </si>
  <si>
    <t xml:space="preserve">Can't decide what to watch</t>
  </si>
  <si>
    <t xml:space="preserve">Quick recommendations</t>
  </si>
  <si>
    <t xml:space="preserve">U07</t>
  </si>
  <si>
    <t xml:space="preserve">Operations Manager</t>
  </si>
  <si>
    <t xml:space="preserve">Downloads expire mid-season</t>
  </si>
  <si>
    <t xml:space="preserve">Proactive download refresh</t>
  </si>
  <si>
    <t xml:space="preserve">U08</t>
  </si>
  <si>
    <t xml:space="preserve">Wants niche/international content</t>
  </si>
  <si>
    <t xml:space="preserve">Advanced search &amp; language filters</t>
  </si>
  <si>
    <t xml:space="preserve">Metric</t>
  </si>
  <si>
    <t xml:space="preserve">Value</t>
  </si>
  <si>
    <t xml:space="preserve">Total Participants</t>
  </si>
  <si>
    <t xml:space="preserve">Daily Users</t>
  </si>
  <si>
    <t xml:space="preserve">Weekly Users</t>
  </si>
  <si>
    <t xml:space="preserve">Occasional Users</t>
  </si>
  <si>
    <t xml:space="preserve">Avg. Recommendation Satisfaction</t>
  </si>
  <si>
    <t xml:space="preserve">Mobile Users</t>
  </si>
  <si>
    <t xml:space="preserve">Smart TV Users</t>
  </si>
  <si>
    <t xml:space="preserve">Laptop Users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</si>
</sst>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0914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3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6.85" hidden="false" customHeight="false" outlineLevel="0" collapsed="false">
      <c r="A2" s="2" t="s">
        <v>9</v>
      </c>
      <c r="B2" s="2" t="n">
        <v>23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n">
        <v>3</v>
      </c>
      <c r="I2" s="2" t="s">
        <v>15</v>
      </c>
    </row>
    <row r="3" customFormat="false" ht="26.85" hidden="false" customHeight="false" outlineLevel="0" collapsed="false">
      <c r="A3" s="2" t="s">
        <v>16</v>
      </c>
      <c r="B3" s="2" t="n">
        <v>29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n">
        <v>3</v>
      </c>
      <c r="I3" s="2" t="s">
        <v>15</v>
      </c>
    </row>
    <row r="4" customFormat="false" ht="26.85" hidden="false" customHeight="false" outlineLevel="0" collapsed="false">
      <c r="A4" s="2" t="s">
        <v>22</v>
      </c>
      <c r="B4" s="2" t="n">
        <v>26</v>
      </c>
      <c r="C4" s="2" t="s">
        <v>23</v>
      </c>
      <c r="D4" s="2" t="s">
        <v>11</v>
      </c>
      <c r="E4" s="2" t="s">
        <v>24</v>
      </c>
      <c r="F4" s="2" t="s">
        <v>25</v>
      </c>
      <c r="G4" s="2" t="s">
        <v>26</v>
      </c>
      <c r="H4" s="2" t="n">
        <v>2</v>
      </c>
      <c r="I4" s="2" t="s">
        <v>15</v>
      </c>
    </row>
    <row r="5" customFormat="false" ht="26.85" hidden="false" customHeight="false" outlineLevel="0" collapsed="false">
      <c r="A5" s="2" t="s">
        <v>27</v>
      </c>
      <c r="B5" s="2" t="n">
        <v>31</v>
      </c>
      <c r="C5" s="2" t="s">
        <v>28</v>
      </c>
      <c r="D5" s="2" t="s">
        <v>18</v>
      </c>
      <c r="E5" s="2" t="s">
        <v>12</v>
      </c>
      <c r="F5" s="2" t="s">
        <v>29</v>
      </c>
      <c r="G5" s="2" t="s">
        <v>30</v>
      </c>
      <c r="H5" s="2" t="n">
        <v>4</v>
      </c>
      <c r="I5" s="2" t="s">
        <v>15</v>
      </c>
    </row>
    <row r="6" customFormat="false" ht="26.85" hidden="false" customHeight="false" outlineLevel="0" collapsed="false">
      <c r="A6" s="2" t="s">
        <v>31</v>
      </c>
      <c r="B6" s="2" t="n">
        <v>24</v>
      </c>
      <c r="C6" s="2" t="s">
        <v>32</v>
      </c>
      <c r="D6" s="2" t="s">
        <v>11</v>
      </c>
      <c r="E6" s="2" t="s">
        <v>19</v>
      </c>
      <c r="F6" s="2" t="s">
        <v>33</v>
      </c>
      <c r="G6" s="2" t="s">
        <v>34</v>
      </c>
      <c r="H6" s="2" t="n">
        <v>3</v>
      </c>
      <c r="I6" s="2" t="s">
        <v>15</v>
      </c>
    </row>
    <row r="7" customFormat="false" ht="26.85" hidden="false" customHeight="false" outlineLevel="0" collapsed="false">
      <c r="A7" s="2" t="s">
        <v>35</v>
      </c>
      <c r="B7" s="2" t="n">
        <v>27</v>
      </c>
      <c r="C7" s="2" t="s">
        <v>10</v>
      </c>
      <c r="D7" s="2" t="s">
        <v>36</v>
      </c>
      <c r="E7" s="2" t="s">
        <v>12</v>
      </c>
      <c r="F7" s="2" t="s">
        <v>37</v>
      </c>
      <c r="G7" s="2" t="s">
        <v>38</v>
      </c>
      <c r="H7" s="2" t="n">
        <v>3</v>
      </c>
      <c r="I7" s="2" t="s">
        <v>15</v>
      </c>
    </row>
    <row r="8" customFormat="false" ht="26.85" hidden="false" customHeight="false" outlineLevel="0" collapsed="false">
      <c r="A8" s="2" t="s">
        <v>39</v>
      </c>
      <c r="B8" s="2" t="n">
        <v>33</v>
      </c>
      <c r="C8" s="2" t="s">
        <v>40</v>
      </c>
      <c r="D8" s="2" t="s">
        <v>18</v>
      </c>
      <c r="E8" s="2" t="s">
        <v>12</v>
      </c>
      <c r="F8" s="2" t="s">
        <v>41</v>
      </c>
      <c r="G8" s="2" t="s">
        <v>42</v>
      </c>
      <c r="H8" s="2" t="n">
        <v>4</v>
      </c>
      <c r="I8" s="2" t="s">
        <v>15</v>
      </c>
    </row>
    <row r="9" customFormat="false" ht="26.85" hidden="false" customHeight="false" outlineLevel="0" collapsed="false">
      <c r="A9" s="2" t="s">
        <v>43</v>
      </c>
      <c r="B9" s="2" t="n">
        <v>21</v>
      </c>
      <c r="C9" s="2" t="s">
        <v>10</v>
      </c>
      <c r="D9" s="2" t="s">
        <v>11</v>
      </c>
      <c r="E9" s="2" t="s">
        <v>24</v>
      </c>
      <c r="F9" s="2" t="s">
        <v>44</v>
      </c>
      <c r="G9" s="2" t="s">
        <v>45</v>
      </c>
      <c r="H9" s="2" t="n">
        <v>3</v>
      </c>
      <c r="I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3" t="s">
        <v>46</v>
      </c>
      <c r="B1" s="3" t="s">
        <v>47</v>
      </c>
    </row>
    <row r="2" customFormat="false" ht="15" hidden="false" customHeight="false" outlineLevel="0" collapsed="false">
      <c r="A2" s="4" t="s">
        <v>48</v>
      </c>
      <c r="B2" s="5" t="n">
        <f aca="false">COUNTA('Interview Data'!A2:A100)</f>
        <v>8</v>
      </c>
    </row>
    <row r="3" customFormat="false" ht="15" hidden="false" customHeight="false" outlineLevel="0" collapsed="false">
      <c r="A3" s="4" t="s">
        <v>49</v>
      </c>
      <c r="B3" s="5" t="n">
        <f aca="false">COUNTIF('Interview Data'!D2:D100,"Daily")</f>
        <v>4</v>
      </c>
    </row>
    <row r="4" customFormat="false" ht="15" hidden="false" customHeight="false" outlineLevel="0" collapsed="false">
      <c r="A4" s="4" t="s">
        <v>50</v>
      </c>
      <c r="B4" s="5" t="n">
        <f aca="false">COUNTIF('Interview Data'!D2:D100,"Weekly")</f>
        <v>3</v>
      </c>
    </row>
    <row r="5" customFormat="false" ht="15" hidden="false" customHeight="false" outlineLevel="0" collapsed="false">
      <c r="A5" s="4" t="s">
        <v>51</v>
      </c>
      <c r="B5" s="5" t="n">
        <f aca="false">COUNTIF('Interview Data'!D2:D100,"Occasional")</f>
        <v>1</v>
      </c>
    </row>
    <row r="6" customFormat="false" ht="15" hidden="false" customHeight="false" outlineLevel="0" collapsed="false">
      <c r="A6" s="4" t="s">
        <v>52</v>
      </c>
      <c r="B6" s="5" t="n">
        <f aca="false">AVERAGE('Interview Data'!H2:H100)</f>
        <v>3.125</v>
      </c>
    </row>
    <row r="7" customFormat="false" ht="15" hidden="false" customHeight="false" outlineLevel="0" collapsed="false">
      <c r="A7" s="4" t="s">
        <v>53</v>
      </c>
      <c r="B7" s="5" t="n">
        <f aca="false">COUNTIF('Interview Data'!E2:E100,"Mobile")</f>
        <v>4</v>
      </c>
    </row>
    <row r="8" customFormat="false" ht="15" hidden="false" customHeight="false" outlineLevel="0" collapsed="false">
      <c r="A8" s="4" t="s">
        <v>54</v>
      </c>
      <c r="B8" s="5" t="n">
        <f aca="false">COUNTIF('Interview Data'!E2:E100,"Smart TV")</f>
        <v>2</v>
      </c>
    </row>
    <row r="9" customFormat="false" ht="15" hidden="false" customHeight="false" outlineLevel="0" collapsed="false">
      <c r="A9" s="4" t="s">
        <v>55</v>
      </c>
      <c r="B9" s="5" t="n">
        <f aca="false">COUNTIF('Interview Data'!E2:E100,"Laptop")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2026-08-16T06:03:20Z</dcterms:created>
  <dc:creator>openpyxl</dc:creator>
  <dc:description/>
  <dc:language>en-US</dc:language>
  <cp:lastModifiedBy/>
  <dcterms:modified xsi:type="dcterms:W3CDTF">2026-08-16T06:03:20Z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